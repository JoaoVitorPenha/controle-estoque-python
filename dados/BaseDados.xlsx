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oaov\OneDrive\Desktop\controle-estoque-python\dados\"/>
    </mc:Choice>
  </mc:AlternateContent>
  <xr:revisionPtr revIDLastSave="0" documentId="13_ncr:1_{5C8D2A8F-8333-4D4B-B103-886F449DCA8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PRODUTOS" sheetId="1" r:id="rId1"/>
    <sheet name="MOVIMENTACOES" sheetId="2" r:id="rId2"/>
    <sheet name="RESUMO" sheetId="3" r:id="rId3"/>
    <sheet name="DASHBOAR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2" i="2"/>
</calcChain>
</file>

<file path=xl/sharedStrings.xml><?xml version="1.0" encoding="utf-8"?>
<sst xmlns="http://schemas.openxmlformats.org/spreadsheetml/2006/main" count="224" uniqueCount="129">
  <si>
    <t>ID</t>
  </si>
  <si>
    <t>NOME</t>
  </si>
  <si>
    <t>CATEGORIA</t>
  </si>
  <si>
    <t>ESTOQUE MINIMO</t>
  </si>
  <si>
    <t>Caixa de Papelão P</t>
  </si>
  <si>
    <t>Embalagens</t>
  </si>
  <si>
    <t>Caixa de Papelão M</t>
  </si>
  <si>
    <t>Caixa de Papelão G</t>
  </si>
  <si>
    <t>Fita Adesiva Transparente</t>
  </si>
  <si>
    <t>Fita Adesiva Marrom</t>
  </si>
  <si>
    <t>Plástico Bolha</t>
  </si>
  <si>
    <t>Envelope Plástico</t>
  </si>
  <si>
    <t>Envelope Kraft</t>
  </si>
  <si>
    <t>Palete de Madeira</t>
  </si>
  <si>
    <t>Armazenagem</t>
  </si>
  <si>
    <t>Palete de Plástico</t>
  </si>
  <si>
    <t>Stretch Film</t>
  </si>
  <si>
    <t>Etiqueta Adesiva</t>
  </si>
  <si>
    <t>Identificação</t>
  </si>
  <si>
    <t>Etiqueta Código de Barras</t>
  </si>
  <si>
    <t>Leitor de Código de Barras</t>
  </si>
  <si>
    <t>Equipamentos</t>
  </si>
  <si>
    <t>Coletor de Dados</t>
  </si>
  <si>
    <t>Carrinho de Transporte</t>
  </si>
  <si>
    <t>Logística Interna</t>
  </si>
  <si>
    <t>Transpaleteira Manual</t>
  </si>
  <si>
    <t>Empilhadeira</t>
  </si>
  <si>
    <t>Container Plástico</t>
  </si>
  <si>
    <t>Container Metálico</t>
  </si>
  <si>
    <t>Caixa Organizadora</t>
  </si>
  <si>
    <t>Prateleira Metálica</t>
  </si>
  <si>
    <t>Estante de Aço</t>
  </si>
  <si>
    <t>Rack Porta Palete</t>
  </si>
  <si>
    <t>Cinta de Amarração</t>
  </si>
  <si>
    <t>Segurança</t>
  </si>
  <si>
    <t>Lacre de Segurança</t>
  </si>
  <si>
    <t>Luva de Proteção</t>
  </si>
  <si>
    <t>EPI</t>
  </si>
  <si>
    <t>Capacete de Segurança</t>
  </si>
  <si>
    <t>Colete Refletivo</t>
  </si>
  <si>
    <t>Botina de Segurança</t>
  </si>
  <si>
    <t>Óculos de Proteção</t>
  </si>
  <si>
    <t>Protetor Auricular</t>
  </si>
  <si>
    <t>Filme Termoencolhível</t>
  </si>
  <si>
    <t>Caixa Térmica</t>
  </si>
  <si>
    <t>Transporte</t>
  </si>
  <si>
    <t>Gaiola Aramada</t>
  </si>
  <si>
    <t>Paleteira Elétrica</t>
  </si>
  <si>
    <t>Roda para Carrinho</t>
  </si>
  <si>
    <t>Manutenção</t>
  </si>
  <si>
    <t>Parafuso Industrial</t>
  </si>
  <si>
    <t>Porca Industrial</t>
  </si>
  <si>
    <t>Arruela</t>
  </si>
  <si>
    <t>Caixa Bin Pequena</t>
  </si>
  <si>
    <t>Caixa Bin Média</t>
  </si>
  <si>
    <t>Caixa Bin Grande</t>
  </si>
  <si>
    <t>Divisória de Gaveta</t>
  </si>
  <si>
    <t>Sinalizador de Piso</t>
  </si>
  <si>
    <t>Cone de Segurança</t>
  </si>
  <si>
    <t>Espelho Convexo</t>
  </si>
  <si>
    <t>Scanner RFID</t>
  </si>
  <si>
    <t>Tag RFID</t>
  </si>
  <si>
    <t>Computador Industrial</t>
  </si>
  <si>
    <t>Monitor Industrial</t>
  </si>
  <si>
    <t>Teclado Industrial</t>
  </si>
  <si>
    <t>Mouse Industrial</t>
  </si>
  <si>
    <t>Impressora Térmica</t>
  </si>
  <si>
    <t>Bobina Térmica</t>
  </si>
  <si>
    <t>Consumíveis</t>
  </si>
  <si>
    <t>Rolo de Etiqueta</t>
  </si>
  <si>
    <t>Corda de Nylon</t>
  </si>
  <si>
    <t>Corrente de Aço</t>
  </si>
  <si>
    <t>Trava de Palete</t>
  </si>
  <si>
    <t>Separador de Pedidos</t>
  </si>
  <si>
    <t>Mesa de Conferência</t>
  </si>
  <si>
    <t>Operacional</t>
  </si>
  <si>
    <t>Balança Industrial</t>
  </si>
  <si>
    <t>Balança de Precisão</t>
  </si>
  <si>
    <t>Software WMS</t>
  </si>
  <si>
    <t>Tecnologia</t>
  </si>
  <si>
    <t>Servidor de Dados</t>
  </si>
  <si>
    <t>Roteador Industrial</t>
  </si>
  <si>
    <t>Switch de Rede</t>
  </si>
  <si>
    <t>Cabo de Rede</t>
  </si>
  <si>
    <t>Extensão Elétrica</t>
  </si>
  <si>
    <t>Carregador de Bateria</t>
  </si>
  <si>
    <t>Bateria para Empilhadeira</t>
  </si>
  <si>
    <t>Kit de Ferramentas</t>
  </si>
  <si>
    <t>Chave de Fenda</t>
  </si>
  <si>
    <t>Chave Philips</t>
  </si>
  <si>
    <t>Alicate Universal</t>
  </si>
  <si>
    <t>Martelo</t>
  </si>
  <si>
    <t>Furadeira</t>
  </si>
  <si>
    <t>Parafusadeira</t>
  </si>
  <si>
    <t>Escada de Alumínio</t>
  </si>
  <si>
    <t>Plataforma Elevatória</t>
  </si>
  <si>
    <t>Detector de Metais</t>
  </si>
  <si>
    <t>Relógio de Ponto</t>
  </si>
  <si>
    <t>Sistema ERP</t>
  </si>
  <si>
    <t>Cadeira Operacional</t>
  </si>
  <si>
    <t>Mobiliário</t>
  </si>
  <si>
    <t>Mesa de Escritório</t>
  </si>
  <si>
    <t>Armário de Escritório</t>
  </si>
  <si>
    <t>Arquivo de Aço</t>
  </si>
  <si>
    <t>Lixeira Industrial</t>
  </si>
  <si>
    <t>Limpeza</t>
  </si>
  <si>
    <t>Vassoura Industrial</t>
  </si>
  <si>
    <t>Rodo Industrial</t>
  </si>
  <si>
    <t>Detergente Industrial</t>
  </si>
  <si>
    <t>Desengraxante</t>
  </si>
  <si>
    <t>Pano de Limpeza</t>
  </si>
  <si>
    <t>Esponja Industrial</t>
  </si>
  <si>
    <t>Carrinho de Limpeza</t>
  </si>
  <si>
    <t>Balde Industrial</t>
  </si>
  <si>
    <t>QUANTIDADE</t>
  </si>
  <si>
    <t>DATA</t>
  </si>
  <si>
    <t>13/03/26</t>
  </si>
  <si>
    <t>14/03/26</t>
  </si>
  <si>
    <t>15/03/26</t>
  </si>
  <si>
    <t>16/03/26</t>
  </si>
  <si>
    <t>17/03/26</t>
  </si>
  <si>
    <t>18/03/26</t>
  </si>
  <si>
    <t>19/03/26</t>
  </si>
  <si>
    <t>20/03/26</t>
  </si>
  <si>
    <t>21/03/26</t>
  </si>
  <si>
    <t>22/03/26</t>
  </si>
  <si>
    <t>23/03/26</t>
  </si>
  <si>
    <t>24/03/26</t>
  </si>
  <si>
    <t>30/03/26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</si>
</sst>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6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164" fontId="0" fillId="0" borderId="1" xfId="0" applyNumberFormat="1" applyBorder="1"/>
    <xf numFmtId="0" fontId="0" fillId="0" borderId="1" xfId="0" applyFill="1" applyBorder="1"/>
    <xf numFmtId="166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workbookViewId="0">
      <selection sqref="A1:D97"/>
    </sheetView>
  </sheetViews>
  <sheetFormatPr defaultRowHeight="15" x14ac:dyDescent="0.25"/>
  <cols>
    <col min="1" max="1" width="4" bestFit="1" customWidth="1"/>
    <col min="2" max="2" width="24.42578125" bestFit="1" customWidth="1"/>
    <col min="3" max="3" width="15.42578125" bestFit="1" customWidth="1"/>
    <col min="4" max="4" width="17.28515625" style="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1" t="s">
        <v>4</v>
      </c>
      <c r="C2" s="1" t="s">
        <v>5</v>
      </c>
      <c r="D2" s="2">
        <v>50</v>
      </c>
    </row>
    <row r="3" spans="1:4" x14ac:dyDescent="0.25">
      <c r="A3" s="2">
        <v>2</v>
      </c>
      <c r="B3" s="1" t="s">
        <v>6</v>
      </c>
      <c r="C3" s="1" t="s">
        <v>5</v>
      </c>
      <c r="D3" s="2">
        <v>40</v>
      </c>
    </row>
    <row r="4" spans="1:4" x14ac:dyDescent="0.25">
      <c r="A4" s="2">
        <v>3</v>
      </c>
      <c r="B4" s="1" t="s">
        <v>7</v>
      </c>
      <c r="C4" s="1" t="s">
        <v>5</v>
      </c>
      <c r="D4" s="2">
        <v>30</v>
      </c>
    </row>
    <row r="5" spans="1:4" x14ac:dyDescent="0.25">
      <c r="A5" s="2">
        <v>4</v>
      </c>
      <c r="B5" s="1" t="s">
        <v>8</v>
      </c>
      <c r="C5" s="1" t="s">
        <v>5</v>
      </c>
      <c r="D5" s="2">
        <v>100</v>
      </c>
    </row>
    <row r="6" spans="1:4" x14ac:dyDescent="0.25">
      <c r="A6" s="2">
        <v>5</v>
      </c>
      <c r="B6" s="1" t="s">
        <v>9</v>
      </c>
      <c r="C6" s="1" t="s">
        <v>5</v>
      </c>
      <c r="D6" s="2">
        <v>80</v>
      </c>
    </row>
    <row r="7" spans="1:4" x14ac:dyDescent="0.25">
      <c r="A7" s="2">
        <v>6</v>
      </c>
      <c r="B7" s="1" t="s">
        <v>10</v>
      </c>
      <c r="C7" s="1" t="s">
        <v>5</v>
      </c>
      <c r="D7" s="2">
        <v>60</v>
      </c>
    </row>
    <row r="8" spans="1:4" x14ac:dyDescent="0.25">
      <c r="A8" s="2">
        <v>7</v>
      </c>
      <c r="B8" s="1" t="s">
        <v>11</v>
      </c>
      <c r="C8" s="1" t="s">
        <v>5</v>
      </c>
      <c r="D8" s="2">
        <v>70</v>
      </c>
    </row>
    <row r="9" spans="1:4" x14ac:dyDescent="0.25">
      <c r="A9" s="2">
        <v>8</v>
      </c>
      <c r="B9" s="1" t="s">
        <v>12</v>
      </c>
      <c r="C9" s="1" t="s">
        <v>5</v>
      </c>
      <c r="D9" s="2">
        <v>70</v>
      </c>
    </row>
    <row r="10" spans="1:4" x14ac:dyDescent="0.25">
      <c r="A10" s="2">
        <v>9</v>
      </c>
      <c r="B10" s="1" t="s">
        <v>13</v>
      </c>
      <c r="C10" s="1" t="s">
        <v>14</v>
      </c>
      <c r="D10" s="2">
        <v>20</v>
      </c>
    </row>
    <row r="11" spans="1:4" x14ac:dyDescent="0.25">
      <c r="A11" s="2">
        <v>10</v>
      </c>
      <c r="B11" s="1" t="s">
        <v>15</v>
      </c>
      <c r="C11" s="1" t="s">
        <v>14</v>
      </c>
      <c r="D11" s="2">
        <v>15</v>
      </c>
    </row>
    <row r="12" spans="1:4" x14ac:dyDescent="0.25">
      <c r="A12" s="2">
        <v>11</v>
      </c>
      <c r="B12" s="1" t="s">
        <v>16</v>
      </c>
      <c r="C12" s="1" t="s">
        <v>5</v>
      </c>
      <c r="D12" s="2">
        <v>90</v>
      </c>
    </row>
    <row r="13" spans="1:4" x14ac:dyDescent="0.25">
      <c r="A13" s="2">
        <v>12</v>
      </c>
      <c r="B13" s="1" t="s">
        <v>17</v>
      </c>
      <c r="C13" s="1" t="s">
        <v>18</v>
      </c>
      <c r="D13" s="2">
        <v>200</v>
      </c>
    </row>
    <row r="14" spans="1:4" x14ac:dyDescent="0.25">
      <c r="A14" s="2">
        <v>13</v>
      </c>
      <c r="B14" s="1" t="s">
        <v>19</v>
      </c>
      <c r="C14" s="1" t="s">
        <v>18</v>
      </c>
      <c r="D14" s="2">
        <v>150</v>
      </c>
    </row>
    <row r="15" spans="1:4" x14ac:dyDescent="0.25">
      <c r="A15" s="2">
        <v>14</v>
      </c>
      <c r="B15" s="1" t="s">
        <v>20</v>
      </c>
      <c r="C15" s="1" t="s">
        <v>21</v>
      </c>
      <c r="D15" s="2">
        <v>10</v>
      </c>
    </row>
    <row r="16" spans="1:4" x14ac:dyDescent="0.25">
      <c r="A16" s="2">
        <v>15</v>
      </c>
      <c r="B16" s="1" t="s">
        <v>22</v>
      </c>
      <c r="C16" s="1" t="s">
        <v>21</v>
      </c>
      <c r="D16" s="2">
        <v>8</v>
      </c>
    </row>
    <row r="17" spans="1:4" x14ac:dyDescent="0.25">
      <c r="A17" s="2">
        <v>16</v>
      </c>
      <c r="B17" s="1" t="s">
        <v>23</v>
      </c>
      <c r="C17" s="1" t="s">
        <v>24</v>
      </c>
      <c r="D17" s="2">
        <v>12</v>
      </c>
    </row>
    <row r="18" spans="1:4" x14ac:dyDescent="0.25">
      <c r="A18" s="2">
        <v>17</v>
      </c>
      <c r="B18" s="1" t="s">
        <v>25</v>
      </c>
      <c r="C18" s="1" t="s">
        <v>24</v>
      </c>
      <c r="D18" s="2">
        <v>6</v>
      </c>
    </row>
    <row r="19" spans="1:4" x14ac:dyDescent="0.25">
      <c r="A19" s="2">
        <v>18</v>
      </c>
      <c r="B19" s="1" t="s">
        <v>26</v>
      </c>
      <c r="C19" s="1" t="s">
        <v>21</v>
      </c>
      <c r="D19" s="2">
        <v>3</v>
      </c>
    </row>
    <row r="20" spans="1:4" x14ac:dyDescent="0.25">
      <c r="A20" s="2">
        <v>19</v>
      </c>
      <c r="B20" s="1" t="s">
        <v>27</v>
      </c>
      <c r="C20" s="1" t="s">
        <v>14</v>
      </c>
      <c r="D20" s="2">
        <v>25</v>
      </c>
    </row>
    <row r="21" spans="1:4" x14ac:dyDescent="0.25">
      <c r="A21" s="2">
        <v>20</v>
      </c>
      <c r="B21" s="1" t="s">
        <v>28</v>
      </c>
      <c r="C21" s="1" t="s">
        <v>14</v>
      </c>
      <c r="D21" s="2">
        <v>10</v>
      </c>
    </row>
    <row r="22" spans="1:4" x14ac:dyDescent="0.25">
      <c r="A22" s="2">
        <v>21</v>
      </c>
      <c r="B22" s="1" t="s">
        <v>29</v>
      </c>
      <c r="C22" s="1" t="s">
        <v>14</v>
      </c>
      <c r="D22" s="2">
        <v>30</v>
      </c>
    </row>
    <row r="23" spans="1:4" x14ac:dyDescent="0.25">
      <c r="A23" s="2">
        <v>22</v>
      </c>
      <c r="B23" s="1" t="s">
        <v>30</v>
      </c>
      <c r="C23" s="1" t="s">
        <v>14</v>
      </c>
      <c r="D23" s="2">
        <v>20</v>
      </c>
    </row>
    <row r="24" spans="1:4" x14ac:dyDescent="0.25">
      <c r="A24" s="2">
        <v>23</v>
      </c>
      <c r="B24" s="1" t="s">
        <v>31</v>
      </c>
      <c r="C24" s="1" t="s">
        <v>14</v>
      </c>
      <c r="D24" s="2">
        <v>15</v>
      </c>
    </row>
    <row r="25" spans="1:4" x14ac:dyDescent="0.25">
      <c r="A25" s="2">
        <v>24</v>
      </c>
      <c r="B25" s="1" t="s">
        <v>32</v>
      </c>
      <c r="C25" s="1" t="s">
        <v>14</v>
      </c>
      <c r="D25" s="2">
        <v>10</v>
      </c>
    </row>
    <row r="26" spans="1:4" x14ac:dyDescent="0.25">
      <c r="A26" s="2">
        <v>25</v>
      </c>
      <c r="B26" s="1" t="s">
        <v>33</v>
      </c>
      <c r="C26" s="1" t="s">
        <v>34</v>
      </c>
      <c r="D26" s="2">
        <v>40</v>
      </c>
    </row>
    <row r="27" spans="1:4" x14ac:dyDescent="0.25">
      <c r="A27" s="2">
        <v>26</v>
      </c>
      <c r="B27" s="1" t="s">
        <v>35</v>
      </c>
      <c r="C27" s="1" t="s">
        <v>34</v>
      </c>
      <c r="D27" s="2">
        <v>100</v>
      </c>
    </row>
    <row r="28" spans="1:4" x14ac:dyDescent="0.25">
      <c r="A28" s="2">
        <v>27</v>
      </c>
      <c r="B28" s="1" t="s">
        <v>36</v>
      </c>
      <c r="C28" s="1" t="s">
        <v>37</v>
      </c>
      <c r="D28" s="2">
        <v>120</v>
      </c>
    </row>
    <row r="29" spans="1:4" x14ac:dyDescent="0.25">
      <c r="A29" s="2">
        <v>28</v>
      </c>
      <c r="B29" s="1" t="s">
        <v>38</v>
      </c>
      <c r="C29" s="1" t="s">
        <v>37</v>
      </c>
      <c r="D29" s="2">
        <v>50</v>
      </c>
    </row>
    <row r="30" spans="1:4" x14ac:dyDescent="0.25">
      <c r="A30" s="2">
        <v>29</v>
      </c>
      <c r="B30" s="1" t="s">
        <v>39</v>
      </c>
      <c r="C30" s="1" t="s">
        <v>37</v>
      </c>
      <c r="D30" s="2">
        <v>60</v>
      </c>
    </row>
    <row r="31" spans="1:4" x14ac:dyDescent="0.25">
      <c r="A31" s="2">
        <v>30</v>
      </c>
      <c r="B31" s="1" t="s">
        <v>40</v>
      </c>
      <c r="C31" s="1" t="s">
        <v>37</v>
      </c>
      <c r="D31" s="2">
        <v>70</v>
      </c>
    </row>
    <row r="32" spans="1:4" x14ac:dyDescent="0.25">
      <c r="A32" s="2">
        <v>31</v>
      </c>
      <c r="B32" s="1" t="s">
        <v>41</v>
      </c>
      <c r="C32" s="1" t="s">
        <v>37</v>
      </c>
      <c r="D32" s="2">
        <v>80</v>
      </c>
    </row>
    <row r="33" spans="1:4" x14ac:dyDescent="0.25">
      <c r="A33" s="2">
        <v>32</v>
      </c>
      <c r="B33" s="1" t="s">
        <v>42</v>
      </c>
      <c r="C33" s="1" t="s">
        <v>37</v>
      </c>
      <c r="D33" s="2">
        <v>90</v>
      </c>
    </row>
    <row r="34" spans="1:4" x14ac:dyDescent="0.25">
      <c r="A34" s="2">
        <v>33</v>
      </c>
      <c r="B34" s="1" t="s">
        <v>43</v>
      </c>
      <c r="C34" s="1" t="s">
        <v>5</v>
      </c>
      <c r="D34" s="2">
        <v>50</v>
      </c>
    </row>
    <row r="35" spans="1:4" x14ac:dyDescent="0.25">
      <c r="A35" s="2">
        <v>34</v>
      </c>
      <c r="B35" s="1" t="s">
        <v>44</v>
      </c>
      <c r="C35" s="1" t="s">
        <v>45</v>
      </c>
      <c r="D35" s="2">
        <v>25</v>
      </c>
    </row>
    <row r="36" spans="1:4" x14ac:dyDescent="0.25">
      <c r="A36" s="2">
        <v>35</v>
      </c>
      <c r="B36" s="1" t="s">
        <v>46</v>
      </c>
      <c r="C36" s="1" t="s">
        <v>14</v>
      </c>
      <c r="D36" s="2">
        <v>10</v>
      </c>
    </row>
    <row r="37" spans="1:4" x14ac:dyDescent="0.25">
      <c r="A37" s="2">
        <v>36</v>
      </c>
      <c r="B37" s="1" t="s">
        <v>47</v>
      </c>
      <c r="C37" s="1" t="s">
        <v>24</v>
      </c>
      <c r="D37" s="2">
        <v>5</v>
      </c>
    </row>
    <row r="38" spans="1:4" x14ac:dyDescent="0.25">
      <c r="A38" s="2">
        <v>37</v>
      </c>
      <c r="B38" s="1" t="s">
        <v>48</v>
      </c>
      <c r="C38" s="1" t="s">
        <v>49</v>
      </c>
      <c r="D38" s="2">
        <v>40</v>
      </c>
    </row>
    <row r="39" spans="1:4" x14ac:dyDescent="0.25">
      <c r="A39" s="2">
        <v>38</v>
      </c>
      <c r="B39" s="1" t="s">
        <v>50</v>
      </c>
      <c r="C39" s="1" t="s">
        <v>49</v>
      </c>
      <c r="D39" s="2">
        <v>200</v>
      </c>
    </row>
    <row r="40" spans="1:4" x14ac:dyDescent="0.25">
      <c r="A40" s="2">
        <v>39</v>
      </c>
      <c r="B40" s="1" t="s">
        <v>51</v>
      </c>
      <c r="C40" s="1" t="s">
        <v>49</v>
      </c>
      <c r="D40" s="2">
        <v>200</v>
      </c>
    </row>
    <row r="41" spans="1:4" x14ac:dyDescent="0.25">
      <c r="A41" s="2">
        <v>40</v>
      </c>
      <c r="B41" s="1" t="s">
        <v>52</v>
      </c>
      <c r="C41" s="1" t="s">
        <v>49</v>
      </c>
      <c r="D41" s="2">
        <v>200</v>
      </c>
    </row>
    <row r="42" spans="1:4" x14ac:dyDescent="0.25">
      <c r="A42" s="2">
        <v>41</v>
      </c>
      <c r="B42" s="1" t="s">
        <v>53</v>
      </c>
      <c r="C42" s="1" t="s">
        <v>14</v>
      </c>
      <c r="D42" s="2">
        <v>60</v>
      </c>
    </row>
    <row r="43" spans="1:4" x14ac:dyDescent="0.25">
      <c r="A43" s="2">
        <v>42</v>
      </c>
      <c r="B43" s="1" t="s">
        <v>54</v>
      </c>
      <c r="C43" s="1" t="s">
        <v>14</v>
      </c>
      <c r="D43" s="2">
        <v>50</v>
      </c>
    </row>
    <row r="44" spans="1:4" x14ac:dyDescent="0.25">
      <c r="A44" s="2">
        <v>43</v>
      </c>
      <c r="B44" s="1" t="s">
        <v>55</v>
      </c>
      <c r="C44" s="1" t="s">
        <v>14</v>
      </c>
      <c r="D44" s="2">
        <v>40</v>
      </c>
    </row>
    <row r="45" spans="1:4" x14ac:dyDescent="0.25">
      <c r="A45" s="2">
        <v>44</v>
      </c>
      <c r="B45" s="1" t="s">
        <v>56</v>
      </c>
      <c r="C45" s="1" t="s">
        <v>14</v>
      </c>
      <c r="D45" s="2">
        <v>70</v>
      </c>
    </row>
    <row r="46" spans="1:4" x14ac:dyDescent="0.25">
      <c r="A46" s="2">
        <v>45</v>
      </c>
      <c r="B46" s="1" t="s">
        <v>57</v>
      </c>
      <c r="C46" s="1" t="s">
        <v>34</v>
      </c>
      <c r="D46" s="2">
        <v>30</v>
      </c>
    </row>
    <row r="47" spans="1:4" x14ac:dyDescent="0.25">
      <c r="A47" s="2">
        <v>46</v>
      </c>
      <c r="B47" s="1" t="s">
        <v>58</v>
      </c>
      <c r="C47" s="1" t="s">
        <v>34</v>
      </c>
      <c r="D47" s="2">
        <v>25</v>
      </c>
    </row>
    <row r="48" spans="1:4" x14ac:dyDescent="0.25">
      <c r="A48" s="2">
        <v>47</v>
      </c>
      <c r="B48" s="1" t="s">
        <v>59</v>
      </c>
      <c r="C48" s="1" t="s">
        <v>34</v>
      </c>
      <c r="D48" s="2">
        <v>10</v>
      </c>
    </row>
    <row r="49" spans="1:4" x14ac:dyDescent="0.25">
      <c r="A49" s="2">
        <v>48</v>
      </c>
      <c r="B49" s="1" t="s">
        <v>60</v>
      </c>
      <c r="C49" s="1" t="s">
        <v>21</v>
      </c>
      <c r="D49" s="2">
        <v>6</v>
      </c>
    </row>
    <row r="50" spans="1:4" x14ac:dyDescent="0.25">
      <c r="A50" s="2">
        <v>49</v>
      </c>
      <c r="B50" s="1" t="s">
        <v>61</v>
      </c>
      <c r="C50" s="1" t="s">
        <v>18</v>
      </c>
      <c r="D50" s="2">
        <v>150</v>
      </c>
    </row>
    <row r="51" spans="1:4" x14ac:dyDescent="0.25">
      <c r="A51" s="2">
        <v>50</v>
      </c>
      <c r="B51" s="1" t="s">
        <v>62</v>
      </c>
      <c r="C51" s="1" t="s">
        <v>21</v>
      </c>
      <c r="D51" s="2">
        <v>5</v>
      </c>
    </row>
    <row r="52" spans="1:4" x14ac:dyDescent="0.25">
      <c r="A52" s="2">
        <v>51</v>
      </c>
      <c r="B52" s="1" t="s">
        <v>63</v>
      </c>
      <c r="C52" s="1" t="s">
        <v>21</v>
      </c>
      <c r="D52" s="2">
        <v>5</v>
      </c>
    </row>
    <row r="53" spans="1:4" x14ac:dyDescent="0.25">
      <c r="A53" s="2">
        <v>52</v>
      </c>
      <c r="B53" s="1" t="s">
        <v>64</v>
      </c>
      <c r="C53" s="1" t="s">
        <v>21</v>
      </c>
      <c r="D53" s="2">
        <v>10</v>
      </c>
    </row>
    <row r="54" spans="1:4" x14ac:dyDescent="0.25">
      <c r="A54" s="2">
        <v>53</v>
      </c>
      <c r="B54" s="1" t="s">
        <v>65</v>
      </c>
      <c r="C54" s="1" t="s">
        <v>21</v>
      </c>
      <c r="D54" s="2">
        <v>10</v>
      </c>
    </row>
    <row r="55" spans="1:4" x14ac:dyDescent="0.25">
      <c r="A55" s="2">
        <v>54</v>
      </c>
      <c r="B55" s="1" t="s">
        <v>66</v>
      </c>
      <c r="C55" s="1" t="s">
        <v>21</v>
      </c>
      <c r="D55" s="2">
        <v>7</v>
      </c>
    </row>
    <row r="56" spans="1:4" x14ac:dyDescent="0.25">
      <c r="A56" s="2">
        <v>55</v>
      </c>
      <c r="B56" s="1" t="s">
        <v>67</v>
      </c>
      <c r="C56" s="1" t="s">
        <v>68</v>
      </c>
      <c r="D56" s="2">
        <v>120</v>
      </c>
    </row>
    <row r="57" spans="1:4" x14ac:dyDescent="0.25">
      <c r="A57" s="2">
        <v>56</v>
      </c>
      <c r="B57" s="1" t="s">
        <v>69</v>
      </c>
      <c r="C57" s="1" t="s">
        <v>68</v>
      </c>
      <c r="D57" s="2">
        <v>130</v>
      </c>
    </row>
    <row r="58" spans="1:4" x14ac:dyDescent="0.25">
      <c r="A58" s="2">
        <v>57</v>
      </c>
      <c r="B58" s="1" t="s">
        <v>70</v>
      </c>
      <c r="C58" s="1" t="s">
        <v>34</v>
      </c>
      <c r="D58" s="2">
        <v>60</v>
      </c>
    </row>
    <row r="59" spans="1:4" x14ac:dyDescent="0.25">
      <c r="A59" s="2">
        <v>58</v>
      </c>
      <c r="B59" s="1" t="s">
        <v>71</v>
      </c>
      <c r="C59" s="1" t="s">
        <v>34</v>
      </c>
      <c r="D59" s="2">
        <v>40</v>
      </c>
    </row>
    <row r="60" spans="1:4" x14ac:dyDescent="0.25">
      <c r="A60" s="2">
        <v>59</v>
      </c>
      <c r="B60" s="1" t="s">
        <v>72</v>
      </c>
      <c r="C60" s="1" t="s">
        <v>34</v>
      </c>
      <c r="D60" s="2">
        <v>20</v>
      </c>
    </row>
    <row r="61" spans="1:4" x14ac:dyDescent="0.25">
      <c r="A61" s="2">
        <v>60</v>
      </c>
      <c r="B61" s="1" t="s">
        <v>73</v>
      </c>
      <c r="C61" s="1" t="s">
        <v>24</v>
      </c>
      <c r="D61" s="2">
        <v>15</v>
      </c>
    </row>
    <row r="62" spans="1:4" x14ac:dyDescent="0.25">
      <c r="A62" s="2">
        <v>61</v>
      </c>
      <c r="B62" s="1" t="s">
        <v>74</v>
      </c>
      <c r="C62" s="1" t="s">
        <v>75</v>
      </c>
      <c r="D62" s="2">
        <v>10</v>
      </c>
    </row>
    <row r="63" spans="1:4" x14ac:dyDescent="0.25">
      <c r="A63" s="2">
        <v>62</v>
      </c>
      <c r="B63" s="1" t="s">
        <v>76</v>
      </c>
      <c r="C63" s="1" t="s">
        <v>21</v>
      </c>
      <c r="D63" s="2">
        <v>8</v>
      </c>
    </row>
    <row r="64" spans="1:4" x14ac:dyDescent="0.25">
      <c r="A64" s="2">
        <v>63</v>
      </c>
      <c r="B64" s="1" t="s">
        <v>77</v>
      </c>
      <c r="C64" s="1" t="s">
        <v>21</v>
      </c>
      <c r="D64" s="2">
        <v>6</v>
      </c>
    </row>
    <row r="65" spans="1:4" x14ac:dyDescent="0.25">
      <c r="A65" s="2">
        <v>64</v>
      </c>
      <c r="B65" s="1" t="s">
        <v>78</v>
      </c>
      <c r="C65" s="1" t="s">
        <v>79</v>
      </c>
      <c r="D65" s="2">
        <v>3</v>
      </c>
    </row>
    <row r="66" spans="1:4" x14ac:dyDescent="0.25">
      <c r="A66" s="2">
        <v>65</v>
      </c>
      <c r="B66" s="1" t="s">
        <v>80</v>
      </c>
      <c r="C66" s="1" t="s">
        <v>79</v>
      </c>
      <c r="D66" s="2">
        <v>4</v>
      </c>
    </row>
    <row r="67" spans="1:4" x14ac:dyDescent="0.25">
      <c r="A67" s="2">
        <v>66</v>
      </c>
      <c r="B67" s="1" t="s">
        <v>81</v>
      </c>
      <c r="C67" s="1" t="s">
        <v>79</v>
      </c>
      <c r="D67" s="2">
        <v>6</v>
      </c>
    </row>
    <row r="68" spans="1:4" x14ac:dyDescent="0.25">
      <c r="A68" s="2">
        <v>67</v>
      </c>
      <c r="B68" s="1" t="s">
        <v>82</v>
      </c>
      <c r="C68" s="1" t="s">
        <v>79</v>
      </c>
      <c r="D68" s="2">
        <v>8</v>
      </c>
    </row>
    <row r="69" spans="1:4" x14ac:dyDescent="0.25">
      <c r="A69" s="2">
        <v>68</v>
      </c>
      <c r="B69" s="1" t="s">
        <v>83</v>
      </c>
      <c r="C69" s="1" t="s">
        <v>79</v>
      </c>
      <c r="D69" s="2">
        <v>100</v>
      </c>
    </row>
    <row r="70" spans="1:4" x14ac:dyDescent="0.25">
      <c r="A70" s="2">
        <v>69</v>
      </c>
      <c r="B70" s="1" t="s">
        <v>84</v>
      </c>
      <c r="C70" s="1" t="s">
        <v>49</v>
      </c>
      <c r="D70" s="2">
        <v>50</v>
      </c>
    </row>
    <row r="71" spans="1:4" x14ac:dyDescent="0.25">
      <c r="A71" s="2">
        <v>70</v>
      </c>
      <c r="B71" s="1" t="s">
        <v>85</v>
      </c>
      <c r="C71" s="1" t="s">
        <v>21</v>
      </c>
      <c r="D71" s="2">
        <v>10</v>
      </c>
    </row>
    <row r="72" spans="1:4" x14ac:dyDescent="0.25">
      <c r="A72" s="2">
        <v>71</v>
      </c>
      <c r="B72" s="1" t="s">
        <v>86</v>
      </c>
      <c r="C72" s="1" t="s">
        <v>21</v>
      </c>
      <c r="D72" s="2">
        <v>6</v>
      </c>
    </row>
    <row r="73" spans="1:4" x14ac:dyDescent="0.25">
      <c r="A73" s="2">
        <v>72</v>
      </c>
      <c r="B73" s="1" t="s">
        <v>87</v>
      </c>
      <c r="C73" s="1" t="s">
        <v>49</v>
      </c>
      <c r="D73" s="2">
        <v>15</v>
      </c>
    </row>
    <row r="74" spans="1:4" x14ac:dyDescent="0.25">
      <c r="A74" s="2">
        <v>73</v>
      </c>
      <c r="B74" s="1" t="s">
        <v>88</v>
      </c>
      <c r="C74" s="1" t="s">
        <v>49</v>
      </c>
      <c r="D74" s="2">
        <v>50</v>
      </c>
    </row>
    <row r="75" spans="1:4" x14ac:dyDescent="0.25">
      <c r="A75" s="2">
        <v>74</v>
      </c>
      <c r="B75" s="1" t="s">
        <v>89</v>
      </c>
      <c r="C75" s="1" t="s">
        <v>49</v>
      </c>
      <c r="D75" s="2">
        <v>50</v>
      </c>
    </row>
    <row r="76" spans="1:4" x14ac:dyDescent="0.25">
      <c r="A76" s="2">
        <v>75</v>
      </c>
      <c r="B76" s="1" t="s">
        <v>90</v>
      </c>
      <c r="C76" s="1" t="s">
        <v>49</v>
      </c>
      <c r="D76" s="2">
        <v>40</v>
      </c>
    </row>
    <row r="77" spans="1:4" x14ac:dyDescent="0.25">
      <c r="A77" s="2">
        <v>76</v>
      </c>
      <c r="B77" s="1" t="s">
        <v>91</v>
      </c>
      <c r="C77" s="1" t="s">
        <v>49</v>
      </c>
      <c r="D77" s="2">
        <v>30</v>
      </c>
    </row>
    <row r="78" spans="1:4" x14ac:dyDescent="0.25">
      <c r="A78" s="2">
        <v>77</v>
      </c>
      <c r="B78" s="1" t="s">
        <v>92</v>
      </c>
      <c r="C78" s="1" t="s">
        <v>21</v>
      </c>
      <c r="D78" s="2">
        <v>10</v>
      </c>
    </row>
    <row r="79" spans="1:4" x14ac:dyDescent="0.25">
      <c r="A79" s="2">
        <v>78</v>
      </c>
      <c r="B79" s="1" t="s">
        <v>93</v>
      </c>
      <c r="C79" s="1" t="s">
        <v>21</v>
      </c>
      <c r="D79" s="2">
        <v>12</v>
      </c>
    </row>
    <row r="80" spans="1:4" x14ac:dyDescent="0.25">
      <c r="A80" s="2">
        <v>79</v>
      </c>
      <c r="B80" s="1" t="s">
        <v>94</v>
      </c>
      <c r="C80" s="1" t="s">
        <v>21</v>
      </c>
      <c r="D80" s="2">
        <v>8</v>
      </c>
    </row>
    <row r="81" spans="1:4" x14ac:dyDescent="0.25">
      <c r="A81" s="2">
        <v>80</v>
      </c>
      <c r="B81" s="1" t="s">
        <v>95</v>
      </c>
      <c r="C81" s="1" t="s">
        <v>21</v>
      </c>
      <c r="D81" s="2">
        <v>4</v>
      </c>
    </row>
    <row r="82" spans="1:4" x14ac:dyDescent="0.25">
      <c r="A82" s="2">
        <v>81</v>
      </c>
      <c r="B82" s="1" t="s">
        <v>96</v>
      </c>
      <c r="C82" s="1" t="s">
        <v>34</v>
      </c>
      <c r="D82" s="2">
        <v>5</v>
      </c>
    </row>
    <row r="83" spans="1:4" x14ac:dyDescent="0.25">
      <c r="A83" s="2">
        <v>82</v>
      </c>
      <c r="B83" s="1" t="s">
        <v>97</v>
      </c>
      <c r="C83" s="1" t="s">
        <v>79</v>
      </c>
      <c r="D83" s="2">
        <v>6</v>
      </c>
    </row>
    <row r="84" spans="1:4" x14ac:dyDescent="0.25">
      <c r="A84" s="2">
        <v>83</v>
      </c>
      <c r="B84" s="1" t="s">
        <v>98</v>
      </c>
      <c r="C84" s="1" t="s">
        <v>79</v>
      </c>
      <c r="D84" s="2">
        <v>3</v>
      </c>
    </row>
    <row r="85" spans="1:4" x14ac:dyDescent="0.25">
      <c r="A85" s="2">
        <v>84</v>
      </c>
      <c r="B85" s="1" t="s">
        <v>99</v>
      </c>
      <c r="C85" s="1" t="s">
        <v>100</v>
      </c>
      <c r="D85" s="2">
        <v>20</v>
      </c>
    </row>
    <row r="86" spans="1:4" x14ac:dyDescent="0.25">
      <c r="A86" s="2">
        <v>85</v>
      </c>
      <c r="B86" s="1" t="s">
        <v>101</v>
      </c>
      <c r="C86" s="1" t="s">
        <v>100</v>
      </c>
      <c r="D86" s="2">
        <v>15</v>
      </c>
    </row>
    <row r="87" spans="1:4" x14ac:dyDescent="0.25">
      <c r="A87" s="2">
        <v>86</v>
      </c>
      <c r="B87" s="1" t="s">
        <v>102</v>
      </c>
      <c r="C87" s="1" t="s">
        <v>100</v>
      </c>
      <c r="D87" s="2">
        <v>10</v>
      </c>
    </row>
    <row r="88" spans="1:4" x14ac:dyDescent="0.25">
      <c r="A88" s="2">
        <v>87</v>
      </c>
      <c r="B88" s="1" t="s">
        <v>103</v>
      </c>
      <c r="C88" s="1" t="s">
        <v>100</v>
      </c>
      <c r="D88" s="2">
        <v>10</v>
      </c>
    </row>
    <row r="89" spans="1:4" x14ac:dyDescent="0.25">
      <c r="A89" s="2">
        <v>88</v>
      </c>
      <c r="B89" s="1" t="s">
        <v>104</v>
      </c>
      <c r="C89" s="1" t="s">
        <v>105</v>
      </c>
      <c r="D89" s="2">
        <v>30</v>
      </c>
    </row>
    <row r="90" spans="1:4" x14ac:dyDescent="0.25">
      <c r="A90" s="2">
        <v>89</v>
      </c>
      <c r="B90" s="1" t="s">
        <v>106</v>
      </c>
      <c r="C90" s="1" t="s">
        <v>105</v>
      </c>
      <c r="D90" s="2">
        <v>40</v>
      </c>
    </row>
    <row r="91" spans="1:4" x14ac:dyDescent="0.25">
      <c r="A91" s="2">
        <v>90</v>
      </c>
      <c r="B91" s="1" t="s">
        <v>107</v>
      </c>
      <c r="C91" s="1" t="s">
        <v>105</v>
      </c>
      <c r="D91" s="2">
        <v>35</v>
      </c>
    </row>
    <row r="92" spans="1:4" x14ac:dyDescent="0.25">
      <c r="A92" s="2">
        <v>91</v>
      </c>
      <c r="B92" s="1" t="s">
        <v>108</v>
      </c>
      <c r="C92" s="1" t="s">
        <v>105</v>
      </c>
      <c r="D92" s="2">
        <v>50</v>
      </c>
    </row>
    <row r="93" spans="1:4" x14ac:dyDescent="0.25">
      <c r="A93" s="2">
        <v>92</v>
      </c>
      <c r="B93" s="1" t="s">
        <v>109</v>
      </c>
      <c r="C93" s="1" t="s">
        <v>105</v>
      </c>
      <c r="D93" s="2">
        <v>40</v>
      </c>
    </row>
    <row r="94" spans="1:4" x14ac:dyDescent="0.25">
      <c r="A94" s="2">
        <v>93</v>
      </c>
      <c r="B94" s="1" t="s">
        <v>110</v>
      </c>
      <c r="C94" s="1" t="s">
        <v>105</v>
      </c>
      <c r="D94" s="2">
        <v>100</v>
      </c>
    </row>
    <row r="95" spans="1:4" x14ac:dyDescent="0.25">
      <c r="A95" s="2">
        <v>94</v>
      </c>
      <c r="B95" s="1" t="s">
        <v>111</v>
      </c>
      <c r="C95" s="1" t="s">
        <v>105</v>
      </c>
      <c r="D95" s="2">
        <v>80</v>
      </c>
    </row>
    <row r="96" spans="1:4" x14ac:dyDescent="0.25">
      <c r="A96" s="2">
        <v>95</v>
      </c>
      <c r="B96" s="1" t="s">
        <v>112</v>
      </c>
      <c r="C96" s="1" t="s">
        <v>105</v>
      </c>
      <c r="D96" s="2">
        <v>10</v>
      </c>
    </row>
    <row r="97" spans="1:4" x14ac:dyDescent="0.25">
      <c r="A97" s="2">
        <v>96</v>
      </c>
      <c r="B97" s="1" t="s">
        <v>113</v>
      </c>
      <c r="C97" s="1" t="s">
        <v>105</v>
      </c>
      <c r="D97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1E1F-E6FE-4B87-9015-D8703F3010FF}">
  <dimension ref="A1:D49"/>
  <sheetViews>
    <sheetView tabSelected="1" workbookViewId="0">
      <selection activeCell="D47" sqref="D47"/>
    </sheetView>
  </sheetViews>
  <sheetFormatPr defaultRowHeight="15" x14ac:dyDescent="0.25"/>
  <cols>
    <col min="1" max="1" width="5.5703125" bestFit="1" customWidth="1"/>
    <col min="2" max="2" width="24.42578125" bestFit="1" customWidth="1"/>
    <col min="3" max="3" width="12.85546875" bestFit="1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114</v>
      </c>
      <c r="D1" s="5" t="s">
        <v>115</v>
      </c>
    </row>
    <row r="2" spans="1:4" x14ac:dyDescent="0.25">
      <c r="A2" s="2">
        <v>1</v>
      </c>
      <c r="B2" s="1" t="str">
        <f>_xlfn.XLOOKUP(A2, PRODUTOS!A:A, PRODUTOS!B:B, "Não Encontrado")</f>
        <v>Caixa de Papelão P</v>
      </c>
      <c r="C2" s="4">
        <v>15</v>
      </c>
      <c r="D2" s="6">
        <v>46025</v>
      </c>
    </row>
    <row r="3" spans="1:4" x14ac:dyDescent="0.25">
      <c r="A3" s="2">
        <v>2</v>
      </c>
      <c r="B3" s="1" t="str">
        <f>_xlfn.XLOOKUP(A3, PRODUTOS!A:A, PRODUTOS!B:B, "Não Encontrado")</f>
        <v>Caixa de Papelão M</v>
      </c>
      <c r="C3" s="4">
        <v>20</v>
      </c>
      <c r="D3" s="6">
        <v>46025</v>
      </c>
    </row>
    <row r="4" spans="1:4" x14ac:dyDescent="0.25">
      <c r="A4" s="2">
        <v>3</v>
      </c>
      <c r="B4" s="1" t="str">
        <f>_xlfn.XLOOKUP(A4, PRODUTOS!A:A, PRODUTOS!B:B, "Não Encontrado")</f>
        <v>Caixa de Papelão G</v>
      </c>
      <c r="C4" s="4">
        <v>10</v>
      </c>
      <c r="D4" s="6">
        <v>46056</v>
      </c>
    </row>
    <row r="5" spans="1:4" x14ac:dyDescent="0.25">
      <c r="A5" s="2">
        <v>4</v>
      </c>
      <c r="B5" s="1" t="str">
        <f>_xlfn.XLOOKUP(A5, PRODUTOS!A:A, PRODUTOS!B:B, "Não Encontrado")</f>
        <v>Fita Adesiva Transparente</v>
      </c>
      <c r="C5" s="4">
        <v>25</v>
      </c>
      <c r="D5" s="6">
        <v>46056</v>
      </c>
    </row>
    <row r="6" spans="1:4" x14ac:dyDescent="0.25">
      <c r="A6" s="2">
        <v>5</v>
      </c>
      <c r="B6" s="1" t="str">
        <f>_xlfn.XLOOKUP(A6, PRODUTOS!A:A, PRODUTOS!B:B, "Não Encontrado")</f>
        <v>Fita Adesiva Marrom</v>
      </c>
      <c r="C6" s="4">
        <v>18</v>
      </c>
      <c r="D6" s="6">
        <v>46084</v>
      </c>
    </row>
    <row r="7" spans="1:4" x14ac:dyDescent="0.25">
      <c r="A7" s="2">
        <v>6</v>
      </c>
      <c r="B7" s="1" t="str">
        <f>_xlfn.XLOOKUP(A7, PRODUTOS!A:A, PRODUTOS!B:B, "Não Encontrado")</f>
        <v>Plástico Bolha</v>
      </c>
      <c r="C7" s="4">
        <v>12</v>
      </c>
      <c r="D7" s="6">
        <v>46084</v>
      </c>
    </row>
    <row r="8" spans="1:4" x14ac:dyDescent="0.25">
      <c r="A8" s="2">
        <v>7</v>
      </c>
      <c r="B8" s="1" t="str">
        <f>_xlfn.XLOOKUP(A8, PRODUTOS!A:A, PRODUTOS!B:B, "Não Encontrado")</f>
        <v>Envelope Plástico</v>
      </c>
      <c r="C8" s="4">
        <v>14</v>
      </c>
      <c r="D8" s="6">
        <v>46115</v>
      </c>
    </row>
    <row r="9" spans="1:4" x14ac:dyDescent="0.25">
      <c r="A9" s="2">
        <v>8</v>
      </c>
      <c r="B9" s="1" t="str">
        <f>_xlfn.XLOOKUP(A9, PRODUTOS!A:A, PRODUTOS!B:B, "Não Encontrado")</f>
        <v>Envelope Kraft</v>
      </c>
      <c r="C9" s="4">
        <v>16</v>
      </c>
      <c r="D9" s="6">
        <v>46115</v>
      </c>
    </row>
    <row r="10" spans="1:4" x14ac:dyDescent="0.25">
      <c r="A10" s="2">
        <v>9</v>
      </c>
      <c r="B10" s="1" t="str">
        <f>_xlfn.XLOOKUP(A10, PRODUTOS!A:A, PRODUTOS!B:B, "Não Encontrado")</f>
        <v>Palete de Madeira</v>
      </c>
      <c r="C10" s="4">
        <v>8</v>
      </c>
      <c r="D10" s="6">
        <v>46145</v>
      </c>
    </row>
    <row r="11" spans="1:4" x14ac:dyDescent="0.25">
      <c r="A11" s="2">
        <v>10</v>
      </c>
      <c r="B11" s="1" t="str">
        <f>_xlfn.XLOOKUP(A11, PRODUTOS!A:A, PRODUTOS!B:B, "Não Encontrado")</f>
        <v>Palete de Plástico</v>
      </c>
      <c r="C11" s="4">
        <v>6</v>
      </c>
      <c r="D11" s="6">
        <v>46145</v>
      </c>
    </row>
    <row r="12" spans="1:4" x14ac:dyDescent="0.25">
      <c r="A12" s="2">
        <v>11</v>
      </c>
      <c r="B12" s="1" t="str">
        <f>_xlfn.XLOOKUP(A12, PRODUTOS!A:A, PRODUTOS!B:B, "Não Encontrado")</f>
        <v>Stretch Film</v>
      </c>
      <c r="C12" s="4">
        <v>22</v>
      </c>
      <c r="D12" s="6">
        <v>46176</v>
      </c>
    </row>
    <row r="13" spans="1:4" x14ac:dyDescent="0.25">
      <c r="A13" s="2">
        <v>12</v>
      </c>
      <c r="B13" s="1" t="str">
        <f>_xlfn.XLOOKUP(A13, PRODUTOS!A:A, PRODUTOS!B:B, "Não Encontrado")</f>
        <v>Etiqueta Adesiva</v>
      </c>
      <c r="C13" s="4">
        <v>30</v>
      </c>
      <c r="D13" s="6">
        <v>46176</v>
      </c>
    </row>
    <row r="14" spans="1:4" x14ac:dyDescent="0.25">
      <c r="A14" s="2">
        <v>13</v>
      </c>
      <c r="B14" s="1" t="str">
        <f>_xlfn.XLOOKUP(A14, PRODUTOS!A:A, PRODUTOS!B:B, "Não Encontrado")</f>
        <v>Etiqueta Código de Barras</v>
      </c>
      <c r="C14" s="4">
        <v>28</v>
      </c>
      <c r="D14" s="6">
        <v>46206</v>
      </c>
    </row>
    <row r="15" spans="1:4" x14ac:dyDescent="0.25">
      <c r="A15" s="2">
        <v>14</v>
      </c>
      <c r="B15" s="1" t="str">
        <f>_xlfn.XLOOKUP(A15, PRODUTOS!A:A, PRODUTOS!B:B, "Não Encontrado")</f>
        <v>Leitor de Código de Barras</v>
      </c>
      <c r="C15" s="4">
        <v>5</v>
      </c>
      <c r="D15" s="6">
        <v>46206</v>
      </c>
    </row>
    <row r="16" spans="1:4" x14ac:dyDescent="0.25">
      <c r="A16" s="2">
        <v>15</v>
      </c>
      <c r="B16" s="1" t="str">
        <f>_xlfn.XLOOKUP(A16, PRODUTOS!A:A, PRODUTOS!B:B, "Não Encontrado")</f>
        <v>Coletor de Dados</v>
      </c>
      <c r="C16" s="4">
        <v>4</v>
      </c>
      <c r="D16" s="6">
        <v>46237</v>
      </c>
    </row>
    <row r="17" spans="1:4" x14ac:dyDescent="0.25">
      <c r="A17" s="2">
        <v>16</v>
      </c>
      <c r="B17" s="1" t="str">
        <f>_xlfn.XLOOKUP(A17, PRODUTOS!A:A, PRODUTOS!B:B, "Não Encontrado")</f>
        <v>Carrinho de Transporte</v>
      </c>
      <c r="C17" s="4">
        <v>9</v>
      </c>
      <c r="D17" s="6">
        <v>46237</v>
      </c>
    </row>
    <row r="18" spans="1:4" x14ac:dyDescent="0.25">
      <c r="A18" s="2">
        <v>17</v>
      </c>
      <c r="B18" s="1" t="str">
        <f>_xlfn.XLOOKUP(A18, PRODUTOS!A:A, PRODUTOS!B:B, "Não Encontrado")</f>
        <v>Transpaleteira Manual</v>
      </c>
      <c r="C18" s="4">
        <v>7</v>
      </c>
      <c r="D18" s="6">
        <v>46268</v>
      </c>
    </row>
    <row r="19" spans="1:4" x14ac:dyDescent="0.25">
      <c r="A19" s="2">
        <v>18</v>
      </c>
      <c r="B19" s="1" t="str">
        <f>_xlfn.XLOOKUP(A19, PRODUTOS!A:A, PRODUTOS!B:B, "Não Encontrado")</f>
        <v>Empilhadeira</v>
      </c>
      <c r="C19" s="4">
        <v>3</v>
      </c>
      <c r="D19" s="6">
        <v>46268</v>
      </c>
    </row>
    <row r="20" spans="1:4" x14ac:dyDescent="0.25">
      <c r="A20" s="2">
        <v>19</v>
      </c>
      <c r="B20" s="1" t="str">
        <f>_xlfn.XLOOKUP(A20, PRODUTOS!A:A, PRODUTOS!B:B, "Não Encontrado")</f>
        <v>Container Plástico</v>
      </c>
      <c r="C20" s="4">
        <v>11</v>
      </c>
      <c r="D20" s="6">
        <v>46298</v>
      </c>
    </row>
    <row r="21" spans="1:4" x14ac:dyDescent="0.25">
      <c r="A21" s="2">
        <v>20</v>
      </c>
      <c r="B21" s="1" t="str">
        <f>_xlfn.XLOOKUP(A21, PRODUTOS!A:A, PRODUTOS!B:B, "Não Encontrado")</f>
        <v>Container Metálico</v>
      </c>
      <c r="C21" s="4">
        <v>6</v>
      </c>
      <c r="D21" s="6">
        <v>46298</v>
      </c>
    </row>
    <row r="22" spans="1:4" x14ac:dyDescent="0.25">
      <c r="A22" s="2">
        <v>21</v>
      </c>
      <c r="B22" s="1" t="str">
        <f>_xlfn.XLOOKUP(A22, PRODUTOS!A:A, PRODUTOS!B:B, "Não Encontrado")</f>
        <v>Caixa Organizadora</v>
      </c>
      <c r="C22" s="4">
        <v>13</v>
      </c>
      <c r="D22" s="6">
        <v>46329</v>
      </c>
    </row>
    <row r="23" spans="1:4" x14ac:dyDescent="0.25">
      <c r="A23" s="2">
        <v>22</v>
      </c>
      <c r="B23" s="1" t="str">
        <f>_xlfn.XLOOKUP(A23, PRODUTOS!A:A, PRODUTOS!B:B, "Não Encontrado")</f>
        <v>Prateleira Metálica</v>
      </c>
      <c r="C23" s="4">
        <v>10</v>
      </c>
      <c r="D23" s="6">
        <v>46329</v>
      </c>
    </row>
    <row r="24" spans="1:4" x14ac:dyDescent="0.25">
      <c r="A24" s="2">
        <v>23</v>
      </c>
      <c r="B24" s="1" t="str">
        <f>_xlfn.XLOOKUP(A24, PRODUTOS!A:A, PRODUTOS!B:B, "Não Encontrado")</f>
        <v>Estante de Aço</v>
      </c>
      <c r="C24" s="4">
        <v>9</v>
      </c>
      <c r="D24" s="6">
        <v>46359</v>
      </c>
    </row>
    <row r="25" spans="1:4" x14ac:dyDescent="0.25">
      <c r="A25" s="2">
        <v>24</v>
      </c>
      <c r="B25" s="1" t="str">
        <f>_xlfn.XLOOKUP(A25, PRODUTOS!A:A, PRODUTOS!B:B, "Não Encontrado")</f>
        <v>Rack Porta Palete</v>
      </c>
      <c r="C25" s="4">
        <v>5</v>
      </c>
      <c r="D25" s="6">
        <v>46359</v>
      </c>
    </row>
    <row r="26" spans="1:4" x14ac:dyDescent="0.25">
      <c r="A26" s="2">
        <v>25</v>
      </c>
      <c r="B26" s="1" t="str">
        <f>_xlfn.XLOOKUP(A26, PRODUTOS!A:A, PRODUTOS!B:B, "Não Encontrado")</f>
        <v>Cinta de Amarração</v>
      </c>
      <c r="C26" s="4">
        <v>14</v>
      </c>
      <c r="D26" s="6" t="s">
        <v>116</v>
      </c>
    </row>
    <row r="27" spans="1:4" x14ac:dyDescent="0.25">
      <c r="A27" s="2">
        <v>26</v>
      </c>
      <c r="B27" s="1" t="str">
        <f>_xlfn.XLOOKUP(A27, PRODUTOS!A:A, PRODUTOS!B:B, "Não Encontrado")</f>
        <v>Lacre de Segurança</v>
      </c>
      <c r="C27" s="4">
        <v>20</v>
      </c>
      <c r="D27" s="6" t="s">
        <v>116</v>
      </c>
    </row>
    <row r="28" spans="1:4" x14ac:dyDescent="0.25">
      <c r="A28" s="2">
        <v>27</v>
      </c>
      <c r="B28" s="1" t="str">
        <f>_xlfn.XLOOKUP(A28, PRODUTOS!A:A, PRODUTOS!B:B, "Não Encontrado")</f>
        <v>Luva de Proteção</v>
      </c>
      <c r="C28" s="4">
        <v>25</v>
      </c>
      <c r="D28" s="6" t="s">
        <v>117</v>
      </c>
    </row>
    <row r="29" spans="1:4" x14ac:dyDescent="0.25">
      <c r="A29" s="2">
        <v>28</v>
      </c>
      <c r="B29" s="1" t="str">
        <f>_xlfn.XLOOKUP(A29, PRODUTOS!A:A, PRODUTOS!B:B, "Não Encontrado")</f>
        <v>Capacete de Segurança</v>
      </c>
      <c r="C29" s="4">
        <v>12</v>
      </c>
      <c r="D29" s="6" t="s">
        <v>117</v>
      </c>
    </row>
    <row r="30" spans="1:4" x14ac:dyDescent="0.25">
      <c r="A30" s="2">
        <v>29</v>
      </c>
      <c r="B30" s="1" t="str">
        <f>_xlfn.XLOOKUP(A30, PRODUTOS!A:A, PRODUTOS!B:B, "Não Encontrado")</f>
        <v>Colete Refletivo</v>
      </c>
      <c r="C30" s="4">
        <v>15</v>
      </c>
      <c r="D30" s="6" t="s">
        <v>118</v>
      </c>
    </row>
    <row r="31" spans="1:4" x14ac:dyDescent="0.25">
      <c r="A31" s="2">
        <v>30</v>
      </c>
      <c r="B31" s="1" t="str">
        <f>_xlfn.XLOOKUP(A31, PRODUTOS!A:A, PRODUTOS!B:B, "Não Encontrado")</f>
        <v>Botina de Segurança</v>
      </c>
      <c r="C31" s="4">
        <v>18</v>
      </c>
      <c r="D31" s="6" t="s">
        <v>118</v>
      </c>
    </row>
    <row r="32" spans="1:4" x14ac:dyDescent="0.25">
      <c r="A32" s="2">
        <v>1</v>
      </c>
      <c r="B32" s="1" t="str">
        <f>_xlfn.XLOOKUP(A32, PRODUTOS!A:A, PRODUTOS!B:B, "Não Encontrado")</f>
        <v>Caixa de Papelão P</v>
      </c>
      <c r="C32" s="4">
        <v>-5</v>
      </c>
      <c r="D32" s="6" t="s">
        <v>119</v>
      </c>
    </row>
    <row r="33" spans="1:4" x14ac:dyDescent="0.25">
      <c r="A33" s="2">
        <v>2</v>
      </c>
      <c r="B33" s="1" t="str">
        <f>_xlfn.XLOOKUP(A33, PRODUTOS!A:A, PRODUTOS!B:B, "Não Encontrado")</f>
        <v>Caixa de Papelão M</v>
      </c>
      <c r="C33" s="4">
        <v>-8</v>
      </c>
      <c r="D33" s="6" t="s">
        <v>119</v>
      </c>
    </row>
    <row r="34" spans="1:4" x14ac:dyDescent="0.25">
      <c r="A34" s="2">
        <v>3</v>
      </c>
      <c r="B34" s="1" t="str">
        <f>_xlfn.XLOOKUP(A34, PRODUTOS!A:A, PRODUTOS!B:B, "Não Encontrado")</f>
        <v>Caixa de Papelão G</v>
      </c>
      <c r="C34" s="4">
        <v>-4</v>
      </c>
      <c r="D34" s="6" t="s">
        <v>120</v>
      </c>
    </row>
    <row r="35" spans="1:4" x14ac:dyDescent="0.25">
      <c r="A35" s="2">
        <v>4</v>
      </c>
      <c r="B35" s="1" t="str">
        <f>_xlfn.XLOOKUP(A35, PRODUTOS!A:A, PRODUTOS!B:B, "Não Encontrado")</f>
        <v>Fita Adesiva Transparente</v>
      </c>
      <c r="C35" s="4">
        <v>-10</v>
      </c>
      <c r="D35" s="6" t="s">
        <v>121</v>
      </c>
    </row>
    <row r="36" spans="1:4" x14ac:dyDescent="0.25">
      <c r="A36" s="2">
        <v>5</v>
      </c>
      <c r="B36" s="1" t="str">
        <f>_xlfn.XLOOKUP(A36, PRODUTOS!A:A, PRODUTOS!B:B, "Não Encontrado")</f>
        <v>Fita Adesiva Marrom</v>
      </c>
      <c r="C36" s="4">
        <v>-6</v>
      </c>
      <c r="D36" s="6" t="s">
        <v>121</v>
      </c>
    </row>
    <row r="37" spans="1:4" x14ac:dyDescent="0.25">
      <c r="A37" s="2">
        <v>6</v>
      </c>
      <c r="B37" s="1" t="str">
        <f>_xlfn.XLOOKUP(A37, PRODUTOS!A:A, PRODUTOS!B:B, "Não Encontrado")</f>
        <v>Plástico Bolha</v>
      </c>
      <c r="C37" s="4">
        <v>-5</v>
      </c>
      <c r="D37" s="6" t="s">
        <v>122</v>
      </c>
    </row>
    <row r="38" spans="1:4" x14ac:dyDescent="0.25">
      <c r="A38" s="2">
        <v>7</v>
      </c>
      <c r="B38" s="1" t="str">
        <f>_xlfn.XLOOKUP(A38, PRODUTOS!A:A, PRODUTOS!B:B, "Não Encontrado")</f>
        <v>Envelope Plástico</v>
      </c>
      <c r="C38" s="4">
        <v>-7</v>
      </c>
      <c r="D38" s="6" t="s">
        <v>122</v>
      </c>
    </row>
    <row r="39" spans="1:4" x14ac:dyDescent="0.25">
      <c r="A39" s="2">
        <v>8</v>
      </c>
      <c r="B39" s="1" t="str">
        <f>_xlfn.XLOOKUP(A39, PRODUTOS!A:A, PRODUTOS!B:B, "Não Encontrado")</f>
        <v>Envelope Kraft</v>
      </c>
      <c r="C39" s="4">
        <v>-6</v>
      </c>
      <c r="D39" s="6" t="s">
        <v>123</v>
      </c>
    </row>
    <row r="40" spans="1:4" x14ac:dyDescent="0.25">
      <c r="A40" s="2">
        <v>9</v>
      </c>
      <c r="B40" s="1" t="str">
        <f>_xlfn.XLOOKUP(A40, PRODUTOS!A:A, PRODUTOS!B:B, "Não Encontrado")</f>
        <v>Palete de Madeira</v>
      </c>
      <c r="C40" s="4">
        <v>-3</v>
      </c>
      <c r="D40" s="6" t="s">
        <v>123</v>
      </c>
    </row>
    <row r="41" spans="1:4" x14ac:dyDescent="0.25">
      <c r="A41" s="2">
        <v>10</v>
      </c>
      <c r="B41" s="1" t="str">
        <f>_xlfn.XLOOKUP(A41, PRODUTOS!A:A, PRODUTOS!B:B, "Não Encontrado")</f>
        <v>Palete de Plástico</v>
      </c>
      <c r="C41" s="4">
        <v>-2</v>
      </c>
      <c r="D41" s="6" t="s">
        <v>124</v>
      </c>
    </row>
    <row r="42" spans="1:4" x14ac:dyDescent="0.25">
      <c r="A42" s="2">
        <v>11</v>
      </c>
      <c r="B42" s="1" t="str">
        <f>_xlfn.XLOOKUP(A42, PRODUTOS!A:A, PRODUTOS!B:B, "Não Encontrado")</f>
        <v>Stretch Film</v>
      </c>
      <c r="C42" s="4">
        <v>-9</v>
      </c>
      <c r="D42" s="6" t="s">
        <v>124</v>
      </c>
    </row>
    <row r="43" spans="1:4" x14ac:dyDescent="0.25">
      <c r="A43" s="2">
        <v>12</v>
      </c>
      <c r="B43" s="1" t="str">
        <f>_xlfn.XLOOKUP(A43, PRODUTOS!A:A, PRODUTOS!B:B, "Não Encontrado")</f>
        <v>Etiqueta Adesiva</v>
      </c>
      <c r="C43" s="4">
        <v>-12</v>
      </c>
      <c r="D43" s="6" t="s">
        <v>124</v>
      </c>
    </row>
    <row r="44" spans="1:4" x14ac:dyDescent="0.25">
      <c r="A44" s="2">
        <v>13</v>
      </c>
      <c r="B44" s="1" t="str">
        <f>_xlfn.XLOOKUP(A44, PRODUTOS!A:A, PRODUTOS!B:B, "Não Encontrado")</f>
        <v>Etiqueta Código de Barras</v>
      </c>
      <c r="C44" s="4">
        <v>-10</v>
      </c>
      <c r="D44" s="6" t="s">
        <v>125</v>
      </c>
    </row>
    <row r="45" spans="1:4" x14ac:dyDescent="0.25">
      <c r="A45" s="2">
        <v>14</v>
      </c>
      <c r="B45" s="1" t="str">
        <f>_xlfn.XLOOKUP(A45, PRODUTOS!A:A, PRODUTOS!B:B, "Não Encontrado")</f>
        <v>Leitor de Código de Barras</v>
      </c>
      <c r="C45" s="4">
        <v>-2</v>
      </c>
      <c r="D45" s="6" t="s">
        <v>126</v>
      </c>
    </row>
    <row r="46" spans="1:4" x14ac:dyDescent="0.25">
      <c r="A46" s="2">
        <v>15</v>
      </c>
      <c r="B46" s="1" t="str">
        <f>_xlfn.XLOOKUP(A46, PRODUTOS!A:A, PRODUTOS!B:B, "Não Encontrado")</f>
        <v>Coletor de Dados</v>
      </c>
      <c r="C46" s="4">
        <v>-1</v>
      </c>
      <c r="D46" s="6" t="s">
        <v>126</v>
      </c>
    </row>
    <row r="47" spans="1:4" x14ac:dyDescent="0.25">
      <c r="A47" s="2">
        <v>16</v>
      </c>
      <c r="B47" s="1" t="str">
        <f>_xlfn.XLOOKUP(A47, PRODUTOS!A:A, PRODUTOS!B:B, "Não Encontrado")</f>
        <v>Carrinho de Transporte</v>
      </c>
      <c r="C47" s="4">
        <v>-4</v>
      </c>
      <c r="D47" s="6" t="s">
        <v>126</v>
      </c>
    </row>
    <row r="48" spans="1:4" x14ac:dyDescent="0.25">
      <c r="A48" s="2">
        <v>17</v>
      </c>
      <c r="B48" s="1" t="str">
        <f>_xlfn.XLOOKUP(A48, PRODUTOS!A:A, PRODUTOS!B:B, "Não Encontrado")</f>
        <v>Transpaleteira Manual</v>
      </c>
      <c r="C48" s="4">
        <v>-3</v>
      </c>
      <c r="D48" s="6" t="s">
        <v>127</v>
      </c>
    </row>
    <row r="49" spans="1:4" x14ac:dyDescent="0.25">
      <c r="A49" s="2">
        <v>18</v>
      </c>
      <c r="B49" s="1" t="str">
        <f>_xlfn.XLOOKUP(A49, PRODUTOS!A:A, PRODUTOS!B:B, "Não Encontrado")</f>
        <v>Empilhadeira</v>
      </c>
      <c r="C49" s="4">
        <v>-1</v>
      </c>
      <c r="D49" s="6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006A5-80FB-49B3-B23C-8E7887B7315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C487-B97C-4D63-B9FA-50494F7D8C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PRODUTOS</vt:lpstr>
      <vt:lpstr>MOVIMENTACOES</vt:lpstr>
      <vt:lpstr>RESUMO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Penha de Souza</dc:creator>
  <cp:lastModifiedBy>João Vitor Penha de Souza</cp:lastModifiedBy>
  <dcterms:created xsi:type="dcterms:W3CDTF">2015-06-05T18:17:20Z</dcterms:created>
  <dcterms:modified xsi:type="dcterms:W3CDTF">2026-05-05T16:14:52Z</dcterms:modified>
</cp:coreProperties>
</file>